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<sst xmlns="http://schemas.openxmlformats.org/spreadsheetml/2006/main" count="290" uniqueCount="102">
  <si>
    <t xml:space="preserve">[ WEB ] eDot Test </t>
  </si>
  <si>
    <t xml:space="preserve"> </t>
  </si>
  <si>
    <t>SCENARIO PROGRESS</t>
  </si>
  <si>
    <t>TOTAL PERCENT</t>
  </si>
  <si>
    <t>PIC</t>
  </si>
  <si>
    <t># Total Test Cases :</t>
  </si>
  <si>
    <t>iOS</t>
  </si>
  <si>
    <t>WEB</t>
  </si>
  <si>
    <t># total case</t>
  </si>
  <si>
    <t># Total Action Step</t>
  </si>
  <si>
    <t>% Status :</t>
  </si>
  <si>
    <t># Status :</t>
  </si>
  <si>
    <t xml:space="preserve">    % Passed </t>
  </si>
  <si>
    <t>Yudi</t>
  </si>
  <si>
    <t xml:space="preserve">    # Passed </t>
  </si>
  <si>
    <t xml:space="preserve">    % Failed </t>
  </si>
  <si>
    <t xml:space="preserve">    # Failed </t>
  </si>
  <si>
    <t>% Not Executed :</t>
  </si>
  <si>
    <t># Not Executed :</t>
  </si>
  <si>
    <t>% Passed With Note :</t>
  </si>
  <si>
    <t># Passed With Note :</t>
  </si>
  <si>
    <t xml:space="preserve">Testing Date App: </t>
  </si>
  <si>
    <t># of case</t>
  </si>
  <si>
    <t>Scenario Description</t>
  </si>
  <si>
    <t>Type</t>
  </si>
  <si>
    <t>Test Condition</t>
  </si>
  <si>
    <t>Steps</t>
  </si>
  <si>
    <r>
      <rPr>
        <rFont val="Calibri"/>
        <b/>
        <color rgb="FFFFFFFF"/>
        <sz val="12.0"/>
      </rPr>
      <t>Detail TestScript / Action Steps (</t>
    </r>
    <r>
      <rPr>
        <rFont val="Calibri"/>
        <b val="0"/>
        <i/>
        <color theme="0"/>
        <sz val="12.0"/>
      </rPr>
      <t>optional</t>
    </r>
    <r>
      <rPr>
        <rFont val="Calibri"/>
        <b/>
        <color theme="0"/>
        <sz val="12.0"/>
      </rPr>
      <t>)</t>
    </r>
  </si>
  <si>
    <t>Expected Result</t>
  </si>
  <si>
    <t>Actual Result</t>
  </si>
  <si>
    <t>Status</t>
  </si>
  <si>
    <t>Tested by</t>
  </si>
  <si>
    <t>Condition Description</t>
  </si>
  <si>
    <t>Action Description</t>
  </si>
  <si>
    <t>Data</t>
  </si>
  <si>
    <t>Login to eSuite</t>
  </si>
  <si>
    <t>POSITIF</t>
  </si>
  <si>
    <r>
      <rPr>
        <rFont val="Calibri"/>
        <b/>
        <color rgb="FF000000"/>
        <sz val="11.0"/>
      </rPr>
      <t xml:space="preserve">Precondition :
1. User have a credential login </t>
    </r>
    <r>
      <rPr>
        <rFont val="Calibri"/>
        <b/>
        <color rgb="FF1155CC"/>
        <sz val="11.0"/>
        <u/>
      </rPr>
      <t>https://esuite.edot.id</t>
    </r>
    <r>
      <rPr>
        <rFont val="Calibri"/>
        <b/>
        <color rgb="FF000000"/>
        <sz val="11.0"/>
      </rPr>
      <t xml:space="preserve"> </t>
    </r>
  </si>
  <si>
    <t>1</t>
  </si>
  <si>
    <t>Open web esuite edot</t>
  </si>
  <si>
    <t>https://esuite.edot.id</t>
  </si>
  <si>
    <t>Web esuite edot is open</t>
  </si>
  <si>
    <t>according to expected result</t>
  </si>
  <si>
    <t>Passed</t>
  </si>
  <si>
    <t>Click use Email or Username</t>
  </si>
  <si>
    <t>Direct to Login With Email or Username</t>
  </si>
  <si>
    <t>Input Email or Username</t>
  </si>
  <si>
    <t>it.qa@edot.id</t>
  </si>
  <si>
    <t>Data is entered</t>
  </si>
  <si>
    <t>Click Login button</t>
  </si>
  <si>
    <t>Direct to input password</t>
  </si>
  <si>
    <t>Input password</t>
  </si>
  <si>
    <t>it.QA2025</t>
  </si>
  <si>
    <t>Dashboard esuite edot displayed
redirect to dashboard or welcome message</t>
  </si>
  <si>
    <t>Create New Company</t>
  </si>
  <si>
    <r>
      <rPr>
        <rFont val="Calibri"/>
        <b/>
        <color rgb="FF000000"/>
        <sz val="11.0"/>
      </rPr>
      <t xml:space="preserve">Precondition :
1. User have a credential login </t>
    </r>
    <r>
      <rPr>
        <rFont val="Calibri"/>
        <b/>
        <color rgb="FF1155CC"/>
        <sz val="11.0"/>
        <u/>
      </rPr>
      <t>https://esuite.edot.id</t>
    </r>
    <r>
      <rPr>
        <rFont val="Calibri"/>
        <b/>
        <color rgb="FF000000"/>
        <sz val="11.0"/>
      </rPr>
      <t xml:space="preserve"> </t>
    </r>
  </si>
  <si>
    <t>Click Perusahaan</t>
  </si>
  <si>
    <t>Direct to Perusahaan Saya</t>
  </si>
  <si>
    <t>Click Tambah Perusahaan</t>
  </si>
  <si>
    <t>Direct to Daftarkan Perusahaan</t>
  </si>
  <si>
    <t>Input Nama Perusahaan</t>
  </si>
  <si>
    <t>PT FAKE Y</t>
  </si>
  <si>
    <t>Input Email</t>
  </si>
  <si>
    <t>YRA@ganteng.id</t>
  </si>
  <si>
    <t>Input Telepon</t>
  </si>
  <si>
    <t>88888882626</t>
  </si>
  <si>
    <t>Select Jenis Industri</t>
  </si>
  <si>
    <t>Retail</t>
  </si>
  <si>
    <t>Select Jenis Usaha</t>
  </si>
  <si>
    <t>Marketplace</t>
  </si>
  <si>
    <t>Select Bahasa</t>
  </si>
  <si>
    <t>English</t>
  </si>
  <si>
    <t>Input Alamat</t>
  </si>
  <si>
    <t>Jalan Pejuang</t>
  </si>
  <si>
    <t>Select Negara</t>
  </si>
  <si>
    <t>Indonesia</t>
  </si>
  <si>
    <t>Select Provinsi</t>
  </si>
  <si>
    <t>DKI Jakarta</t>
  </si>
  <si>
    <t>Select Kota</t>
  </si>
  <si>
    <t>Select Kecamatan</t>
  </si>
  <si>
    <t>Cengkareng</t>
  </si>
  <si>
    <t>Select Sub Diskrit</t>
  </si>
  <si>
    <t>Kapuk</t>
  </si>
  <si>
    <t>Kode Pos</t>
  </si>
  <si>
    <t>Automatic filled</t>
  </si>
  <si>
    <t>Click Next button</t>
  </si>
  <si>
    <t>Direct to Daftar Hukum</t>
  </si>
  <si>
    <t>Click Add Document</t>
  </si>
  <si>
    <t>Direct to Add Legal Document</t>
  </si>
  <si>
    <t>Select Dokumen Hukum</t>
  </si>
  <si>
    <t>Dokumen Bisnis (NPWP)</t>
  </si>
  <si>
    <t>Select File Document</t>
  </si>
  <si>
    <t>File attached</t>
  </si>
  <si>
    <t>Click Submit Document button</t>
  </si>
  <si>
    <t>Click Selanjutnya button</t>
  </si>
  <si>
    <t>Direct to Buat Cabang Anda</t>
  </si>
  <si>
    <t xml:space="preserve">Nama Cabang </t>
  </si>
  <si>
    <t>HQ</t>
  </si>
  <si>
    <t>Click Agree to our Policy and Terms and Conditions</t>
  </si>
  <si>
    <t>Daftar button is enabled</t>
  </si>
  <si>
    <t>Click Daftar button</t>
  </si>
  <si>
    <t>Daftar Perusahaan is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</si>
</sst>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36.0"/>
      <color theme="1"/>
      <name val="Calibri"/>
    </font>
    <font>
      <color theme="1"/>
      <name val="Arial"/>
    </font>
    <font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2.0"/>
      <color rgb="FFFFFFFF"/>
      <name val="Calibri"/>
    </font>
    <font>
      <b/>
      <u/>
      <sz val="11.0"/>
      <color rgb="FF000000"/>
      <name val="Calibri"/>
    </font>
    <font>
      <u/>
      <color rgb="FF0000FF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</fills>
  <borders count="10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1" fillId="0" fontId="2" numFmtId="0" xfId="0" applyBorder="1" applyFont="1"/>
    <xf borderId="0" fillId="0" fontId="2" numFmtId="0" xfId="0" applyFont="1"/>
    <xf borderId="2" fillId="0" fontId="3" numFmtId="0" xfId="0" applyBorder="1" applyFont="1"/>
    <xf borderId="1" fillId="2" fontId="4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3" fillId="0" fontId="5" numFmtId="0" xfId="0" applyBorder="1" applyFont="1"/>
    <xf borderId="2" fillId="0" fontId="2" numFmtId="0" xfId="0" applyBorder="1" applyFont="1"/>
    <xf borderId="1" fillId="2" fontId="4" numFmtId="0" xfId="0" applyAlignment="1" applyBorder="1" applyFont="1">
      <alignment horizontal="center"/>
    </xf>
    <xf borderId="3" fillId="3" fontId="6" numFmtId="0" xfId="0" applyAlignment="1" applyBorder="1" applyFill="1" applyFont="1">
      <alignment shrinkToFit="0" wrapText="1"/>
    </xf>
    <xf borderId="1" fillId="3" fontId="7" numFmtId="0" xfId="0" applyAlignment="1" applyBorder="1" applyFont="1">
      <alignment horizontal="center"/>
    </xf>
    <xf borderId="3" fillId="4" fontId="7" numFmtId="0" xfId="0" applyBorder="1" applyFill="1" applyFont="1"/>
    <xf borderId="3" fillId="4" fontId="8" numFmtId="0" xfId="0" applyAlignment="1" applyBorder="1" applyFont="1">
      <alignment horizontal="center" readingOrder="0"/>
    </xf>
    <xf borderId="3" fillId="4" fontId="8" numFmtId="0" xfId="0" applyAlignment="1" applyBorder="1" applyFont="1">
      <alignment horizontal="center"/>
    </xf>
    <xf borderId="1" fillId="3" fontId="7" numFmtId="3" xfId="0" applyAlignment="1" applyBorder="1" applyFont="1" applyNumberFormat="1">
      <alignment horizontal="center"/>
    </xf>
    <xf borderId="2" fillId="0" fontId="2" numFmtId="49" xfId="0" applyBorder="1" applyFont="1" applyNumberFormat="1"/>
    <xf borderId="1" fillId="3" fontId="6" numFmtId="9" xfId="0" applyBorder="1" applyFont="1" applyNumberFormat="1"/>
    <xf borderId="3" fillId="0" fontId="2" numFmtId="49" xfId="0" applyBorder="1" applyFont="1" applyNumberFormat="1"/>
    <xf borderId="3" fillId="0" fontId="2" numFmtId="0" xfId="0" applyBorder="1" applyFont="1"/>
    <xf borderId="3" fillId="2" fontId="8" numFmtId="3" xfId="0" applyAlignment="1" applyBorder="1" applyFont="1" applyNumberFormat="1">
      <alignment horizontal="center" readingOrder="0"/>
    </xf>
    <xf borderId="3" fillId="2" fontId="4" numFmtId="3" xfId="0" applyAlignment="1" applyBorder="1" applyFont="1" applyNumberFormat="1">
      <alignment horizontal="center"/>
    </xf>
    <xf borderId="3" fillId="3" fontId="7" numFmtId="9" xfId="0" applyBorder="1" applyFont="1" applyNumberFormat="1"/>
    <xf borderId="3" fillId="3" fontId="7" numFmtId="10" xfId="0" applyAlignment="1" applyBorder="1" applyFont="1" applyNumberFormat="1">
      <alignment horizontal="center"/>
    </xf>
    <xf borderId="3" fillId="0" fontId="7" numFmtId="49" xfId="0" applyAlignment="1" applyBorder="1" applyFont="1" applyNumberFormat="1">
      <alignment readingOrder="0"/>
    </xf>
    <xf borderId="3" fillId="3" fontId="7" numFmtId="49" xfId="0" applyAlignment="1" applyBorder="1" applyFont="1" applyNumberFormat="1">
      <alignment horizontal="center"/>
    </xf>
    <xf borderId="3" fillId="3" fontId="7" numFmtId="0" xfId="0" applyAlignment="1" applyBorder="1" applyFont="1">
      <alignment shrinkToFit="0" wrapText="1"/>
    </xf>
    <xf borderId="3" fillId="3" fontId="7" numFmtId="3" xfId="0" applyAlignment="1" applyBorder="1" applyFont="1" applyNumberFormat="1">
      <alignment horizontal="center"/>
    </xf>
    <xf borderId="3" fillId="3" fontId="7" numFmtId="10" xfId="0" applyBorder="1" applyFont="1" applyNumberFormat="1"/>
    <xf borderId="3" fillId="3" fontId="7" numFmtId="10" xfId="0" applyAlignment="1" applyBorder="1" applyFont="1" applyNumberFormat="1">
      <alignment horizontal="center" vertical="bottom"/>
    </xf>
    <xf borderId="3" fillId="3" fontId="6" numFmtId="10" xfId="0" applyBorder="1" applyFont="1" applyNumberFormat="1"/>
    <xf borderId="3" fillId="3" fontId="2" numFmtId="49" xfId="0" applyBorder="1" applyFont="1" applyNumberFormat="1"/>
    <xf borderId="0" fillId="0" fontId="2" numFmtId="49" xfId="0" applyFont="1" applyNumberFormat="1"/>
    <xf borderId="4" fillId="3" fontId="6" numFmtId="0" xfId="0" applyAlignment="1" applyBorder="1" applyFont="1">
      <alignment readingOrder="0"/>
    </xf>
    <xf borderId="2" fillId="3" fontId="2" numFmtId="0" xfId="0" applyBorder="1" applyFont="1"/>
    <xf borderId="3" fillId="3" fontId="6" numFmtId="0" xfId="0" applyAlignment="1" applyBorder="1" applyFont="1">
      <alignment readingOrder="0" shrinkToFit="0" wrapText="1"/>
    </xf>
    <xf borderId="0" fillId="3" fontId="2" numFmtId="49" xfId="0" applyFont="1" applyNumberFormat="1"/>
    <xf borderId="3" fillId="0" fontId="6" numFmtId="0" xfId="0" applyAlignment="1" applyBorder="1" applyFont="1">
      <alignment shrinkToFit="0" wrapText="1"/>
    </xf>
    <xf borderId="5" fillId="5" fontId="9" numFmtId="0" xfId="0" applyAlignment="1" applyBorder="1" applyFill="1" applyFont="1">
      <alignment horizontal="center" vertical="center"/>
    </xf>
    <xf borderId="6" fillId="0" fontId="5" numFmtId="0" xfId="0" applyBorder="1" applyFont="1"/>
    <xf borderId="0" fillId="5" fontId="8" numFmtId="0" xfId="0" applyAlignment="1" applyFont="1">
      <alignment horizontal="center" shrinkToFit="0" vertical="top" wrapText="1"/>
    </xf>
    <xf borderId="1" fillId="5" fontId="8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 shrinkToFit="0" wrapText="1"/>
    </xf>
    <xf borderId="0" fillId="5" fontId="8" numFmtId="0" xfId="0" applyAlignment="1" applyFont="1">
      <alignment horizontal="center" shrinkToFit="0" wrapText="1"/>
    </xf>
    <xf borderId="7" fillId="2" fontId="10" numFmtId="0" xfId="0" applyAlignment="1" applyBorder="1" applyFont="1">
      <alignment horizontal="center" shrinkToFit="0" vertical="center" wrapText="1"/>
    </xf>
    <xf borderId="7" fillId="2" fontId="10" numFmtId="0" xfId="0" applyAlignment="1" applyBorder="1" applyFont="1">
      <alignment horizontal="center" readingOrder="0" shrinkToFit="0" vertical="center" wrapText="1"/>
    </xf>
    <xf borderId="7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readingOrder="0" shrinkToFit="0" vertical="center" wrapText="1"/>
    </xf>
    <xf borderId="8" fillId="0" fontId="5" numFmtId="0" xfId="0" applyBorder="1" applyFont="1"/>
    <xf borderId="4" fillId="6" fontId="10" numFmtId="0" xfId="0" applyAlignment="1" applyBorder="1" applyFill="1" applyFont="1">
      <alignment horizontal="center" readingOrder="0" shrinkToFit="0" vertical="center" wrapText="1"/>
    </xf>
    <xf borderId="4" fillId="7" fontId="10" numFmtId="0" xfId="0" applyAlignment="1" applyBorder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top" wrapText="1"/>
    </xf>
    <xf borderId="7" fillId="0" fontId="7" numFmtId="0" xfId="0" applyAlignment="1" applyBorder="1" applyFont="1">
      <alignment readingOrder="0" shrinkToFit="0" vertical="top" wrapText="1"/>
    </xf>
    <xf borderId="7" fillId="0" fontId="11" numFmtId="0" xfId="0" applyAlignment="1" applyBorder="1" applyFont="1">
      <alignment readingOrder="0" shrinkToFit="0" vertical="top" wrapText="1"/>
    </xf>
    <xf quotePrefix="1" borderId="4" fillId="0" fontId="7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0" fontId="12" numFmtId="0" xfId="0" applyAlignment="1" applyBorder="1" applyFont="1">
      <alignment readingOrder="0" vertical="top"/>
    </xf>
    <xf borderId="6" fillId="0" fontId="7" numFmtId="0" xfId="0" applyAlignment="1" applyBorder="1" applyFont="1">
      <alignment horizontal="center" readingOrder="0" shrinkToFit="0" vertical="top" wrapText="1"/>
    </xf>
    <xf borderId="6" fillId="0" fontId="13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readingOrder="0" vertical="top"/>
    </xf>
    <xf borderId="9" fillId="0" fontId="5" numFmtId="0" xfId="0" applyBorder="1" applyFont="1"/>
    <xf borderId="4" fillId="0" fontId="7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readingOrder="0" vertical="top"/>
    </xf>
    <xf borderId="4" fillId="0" fontId="7" numFmtId="0" xfId="0" applyAlignment="1" applyBorder="1" applyFont="1">
      <alignment horizontal="center" readingOrder="0"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vertical="top"/>
    </xf>
    <xf quotePrefix="1" borderId="4" fillId="0" fontId="7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uite.edot.id/" TargetMode="External"/><Relationship Id="rId2" Type="http://schemas.openxmlformats.org/officeDocument/2006/relationships/hyperlink" Target="https://esuite.edot.id/" TargetMode="External"/><Relationship Id="rId3" Type="http://schemas.openxmlformats.org/officeDocument/2006/relationships/hyperlink" Target="https://esuite.edot.id/" TargetMode="External"/><Relationship Id="rId4" Type="http://schemas.openxmlformats.org/officeDocument/2006/relationships/hyperlink" Target="https://esuite.edot.id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9.38"/>
    <col customWidth="1" min="3" max="3" width="12.88"/>
    <col customWidth="1" min="4" max="4" width="32.38"/>
    <col customWidth="1" min="5" max="5" width="7.13"/>
    <col customWidth="1" min="6" max="6" width="25.63"/>
    <col customWidth="1" min="7" max="7" width="25.38"/>
    <col customWidth="1" min="8" max="8" width="29.13"/>
    <col customWidth="1" min="9" max="9" width="26.38"/>
  </cols>
  <sheetData>
    <row r="1">
      <c r="A1" s="1" t="s">
        <v>0</v>
      </c>
    </row>
    <row r="2">
      <c r="A2" s="2"/>
      <c r="B2" s="3"/>
      <c r="C2" s="3"/>
      <c r="D2" s="3"/>
      <c r="E2" s="4"/>
      <c r="F2" s="4"/>
      <c r="G2" s="3"/>
      <c r="H2" s="3"/>
      <c r="I2" s="3"/>
      <c r="J2" s="3"/>
      <c r="K2" s="3"/>
      <c r="L2" s="3"/>
      <c r="M2" s="4"/>
    </row>
    <row r="3">
      <c r="A3" s="5" t="s">
        <v>1</v>
      </c>
      <c r="B3" s="6" t="s">
        <v>2</v>
      </c>
      <c r="C3" s="7"/>
      <c r="D3" s="8"/>
      <c r="E3" s="4"/>
      <c r="F3" s="9"/>
      <c r="G3" s="10" t="s">
        <v>3</v>
      </c>
      <c r="H3" s="7"/>
      <c r="I3" s="8"/>
      <c r="J3" s="10" t="s">
        <v>4</v>
      </c>
      <c r="K3" s="7"/>
      <c r="L3" s="8"/>
      <c r="M3" s="4"/>
    </row>
    <row r="4">
      <c r="A4" s="9"/>
      <c r="B4" s="11" t="s">
        <v>5</v>
      </c>
      <c r="C4" s="12">
        <f>COUNTA(C15:C291831)</f>
        <v>2</v>
      </c>
      <c r="D4" s="8"/>
      <c r="E4" s="4"/>
      <c r="F4" s="9"/>
      <c r="G4" s="13" t="s">
        <v>6</v>
      </c>
      <c r="H4" s="14" t="s">
        <v>7</v>
      </c>
      <c r="I4" s="15"/>
      <c r="J4" s="13" t="s">
        <v>8</v>
      </c>
      <c r="K4" s="14" t="s">
        <v>7</v>
      </c>
      <c r="L4" s="15"/>
      <c r="M4" s="4"/>
    </row>
    <row r="5">
      <c r="A5" s="9"/>
      <c r="B5" s="11" t="s">
        <v>9</v>
      </c>
      <c r="C5" s="16">
        <f>COUNTA(F15:F261831)</f>
        <v>43</v>
      </c>
      <c r="D5" s="8"/>
      <c r="E5" s="4"/>
      <c r="F5" s="17"/>
      <c r="G5" s="18" t="s">
        <v>10</v>
      </c>
      <c r="H5" s="7"/>
      <c r="I5" s="8"/>
      <c r="J5" s="19"/>
      <c r="K5" s="20"/>
      <c r="L5" s="20"/>
      <c r="M5" s="4"/>
    </row>
    <row r="6">
      <c r="A6" s="9"/>
      <c r="B6" s="11" t="s">
        <v>11</v>
      </c>
      <c r="C6" s="21" t="s">
        <v>7</v>
      </c>
      <c r="D6" s="22"/>
      <c r="E6" s="4"/>
      <c r="F6" s="17"/>
      <c r="G6" s="23" t="s">
        <v>12</v>
      </c>
      <c r="H6" s="24">
        <f>C7/C5</f>
        <v>1</v>
      </c>
      <c r="I6" s="24"/>
      <c r="J6" s="25" t="s">
        <v>13</v>
      </c>
      <c r="K6" s="26">
        <f>countifs(L15:L1269330,J6)</f>
        <v>43</v>
      </c>
      <c r="L6" s="26"/>
      <c r="M6" s="4"/>
    </row>
    <row r="7">
      <c r="A7" s="9"/>
      <c r="B7" s="27" t="s">
        <v>14</v>
      </c>
      <c r="C7" s="28">
        <f>COUNTIFS(J15:J291831,"Passed")</f>
        <v>43</v>
      </c>
      <c r="D7" s="28"/>
      <c r="E7" s="2"/>
      <c r="F7" s="17"/>
      <c r="G7" s="29" t="s">
        <v>15</v>
      </c>
      <c r="H7" s="30">
        <f>C8/C5</f>
        <v>0</v>
      </c>
      <c r="I7" s="30"/>
      <c r="J7" s="25"/>
      <c r="K7" s="26"/>
      <c r="L7" s="26"/>
      <c r="M7" s="4"/>
    </row>
    <row r="8">
      <c r="A8" s="9"/>
      <c r="B8" s="27" t="s">
        <v>16</v>
      </c>
      <c r="C8" s="28">
        <f>COUNTIFS(J15:J291831,"Failed")</f>
        <v>0</v>
      </c>
      <c r="D8" s="28"/>
      <c r="E8" s="4"/>
      <c r="F8" s="17"/>
      <c r="G8" s="31" t="s">
        <v>17</v>
      </c>
      <c r="H8" s="30">
        <f>C9/C5</f>
        <v>0</v>
      </c>
      <c r="I8" s="30"/>
      <c r="J8" s="19"/>
      <c r="K8" s="32"/>
      <c r="L8" s="32"/>
      <c r="M8" s="4"/>
    </row>
    <row r="9">
      <c r="A9" s="9"/>
      <c r="B9" s="11" t="s">
        <v>18</v>
      </c>
      <c r="C9" s="28">
        <f>COUNTIFS(J15:J291831,"Not Executed")</f>
        <v>0</v>
      </c>
      <c r="D9" s="28"/>
      <c r="E9" s="2"/>
      <c r="F9" s="33"/>
      <c r="G9" s="34" t="s">
        <v>19</v>
      </c>
      <c r="H9" s="30">
        <f>C10/C5</f>
        <v>0</v>
      </c>
      <c r="I9" s="30"/>
      <c r="J9" s="19"/>
      <c r="K9" s="32"/>
      <c r="L9" s="32"/>
      <c r="M9" s="4"/>
    </row>
    <row r="10">
      <c r="A10" s="35"/>
      <c r="B10" s="36" t="s">
        <v>20</v>
      </c>
      <c r="C10" s="28">
        <f>COUNTIFS(J15:J291832,"Passed With Note")</f>
        <v>0</v>
      </c>
      <c r="D10" s="28"/>
      <c r="E10" s="4"/>
      <c r="F10" s="4"/>
      <c r="G10" s="4"/>
      <c r="H10" s="4"/>
      <c r="I10" s="33"/>
      <c r="J10" s="4"/>
      <c r="K10" s="4"/>
      <c r="L10" s="33"/>
      <c r="M10" s="37"/>
    </row>
    <row r="11">
      <c r="A11" s="35"/>
      <c r="B11" s="38" t="s">
        <v>21</v>
      </c>
      <c r="C11" s="39"/>
      <c r="D11" s="40"/>
      <c r="E11" s="4"/>
      <c r="F11" s="4"/>
      <c r="G11" s="4"/>
      <c r="H11" s="4"/>
      <c r="I11" s="33"/>
      <c r="J11" s="4"/>
      <c r="K11" s="4"/>
      <c r="L11" s="33"/>
      <c r="M11" s="37"/>
    </row>
    <row r="12">
      <c r="A12" s="41"/>
      <c r="B12" s="42"/>
      <c r="C12" s="43"/>
      <c r="D12" s="43"/>
      <c r="E12" s="43"/>
      <c r="F12" s="44"/>
      <c r="G12" s="44"/>
      <c r="H12" s="45"/>
      <c r="I12" s="45"/>
      <c r="J12" s="45"/>
      <c r="K12" s="45"/>
      <c r="L12" s="45"/>
      <c r="M12" s="45"/>
    </row>
    <row r="13">
      <c r="A13" s="46" t="s">
        <v>22</v>
      </c>
      <c r="B13" s="47" t="s">
        <v>23</v>
      </c>
      <c r="C13" s="48" t="s">
        <v>24</v>
      </c>
      <c r="D13" s="49" t="s">
        <v>25</v>
      </c>
      <c r="E13" s="48" t="s">
        <v>26</v>
      </c>
      <c r="F13" s="50" t="s">
        <v>27</v>
      </c>
      <c r="G13" s="40"/>
      <c r="H13" s="46" t="s">
        <v>28</v>
      </c>
      <c r="I13" s="46" t="s">
        <v>29</v>
      </c>
      <c r="J13" s="51" t="s">
        <v>30</v>
      </c>
      <c r="K13" s="40"/>
      <c r="L13" s="51" t="s">
        <v>31</v>
      </c>
      <c r="M13" s="40"/>
    </row>
    <row r="14">
      <c r="A14" s="52"/>
      <c r="B14" s="52"/>
      <c r="C14" s="52"/>
      <c r="D14" s="49" t="s">
        <v>32</v>
      </c>
      <c r="E14" s="52"/>
      <c r="F14" s="49" t="s">
        <v>33</v>
      </c>
      <c r="G14" s="49" t="s">
        <v>34</v>
      </c>
      <c r="H14" s="52"/>
      <c r="I14" s="52"/>
      <c r="J14" s="53" t="s">
        <v>7</v>
      </c>
      <c r="K14" s="54"/>
      <c r="L14" s="53" t="s">
        <v>7</v>
      </c>
      <c r="M14" s="54"/>
    </row>
    <row r="15">
      <c r="A15" s="55">
        <v>1.0</v>
      </c>
      <c r="B15" s="56" t="s">
        <v>35</v>
      </c>
      <c r="C15" s="55" t="s">
        <v>36</v>
      </c>
      <c r="D15" s="57" t="s">
        <v>37</v>
      </c>
      <c r="E15" s="58" t="s">
        <v>38</v>
      </c>
      <c r="F15" s="59" t="s">
        <v>39</v>
      </c>
      <c r="G15" s="60" t="s">
        <v>40</v>
      </c>
      <c r="H15" s="59" t="s">
        <v>41</v>
      </c>
      <c r="I15" s="61" t="s">
        <v>42</v>
      </c>
      <c r="J15" s="62" t="s">
        <v>43</v>
      </c>
      <c r="K15" s="62"/>
      <c r="L15" s="63" t="s">
        <v>13</v>
      </c>
      <c r="M15" s="63"/>
    </row>
    <row r="16">
      <c r="A16" s="64"/>
      <c r="B16" s="64"/>
      <c r="C16" s="64"/>
      <c r="D16" s="64"/>
      <c r="E16" s="65">
        <v>2.0</v>
      </c>
      <c r="F16" s="59" t="s">
        <v>44</v>
      </c>
      <c r="G16" s="66"/>
      <c r="H16" s="59" t="s">
        <v>45</v>
      </c>
      <c r="I16" s="61" t="s">
        <v>42</v>
      </c>
      <c r="J16" s="62" t="s">
        <v>43</v>
      </c>
      <c r="K16" s="62"/>
      <c r="L16" s="63" t="s">
        <v>13</v>
      </c>
      <c r="M16" s="63"/>
    </row>
    <row r="17">
      <c r="A17" s="64"/>
      <c r="B17" s="64"/>
      <c r="C17" s="64"/>
      <c r="D17" s="64"/>
      <c r="E17" s="65">
        <v>3.0</v>
      </c>
      <c r="F17" s="59" t="s">
        <v>46</v>
      </c>
      <c r="G17" s="67" t="s">
        <v>47</v>
      </c>
      <c r="H17" s="59" t="s">
        <v>48</v>
      </c>
      <c r="I17" s="61" t="s">
        <v>42</v>
      </c>
      <c r="J17" s="62" t="s">
        <v>43</v>
      </c>
      <c r="K17" s="62"/>
      <c r="L17" s="63" t="s">
        <v>13</v>
      </c>
      <c r="M17" s="63"/>
    </row>
    <row r="18">
      <c r="A18" s="64"/>
      <c r="B18" s="64"/>
      <c r="C18" s="64"/>
      <c r="D18" s="64"/>
      <c r="E18" s="68">
        <v>4.0</v>
      </c>
      <c r="F18" s="59" t="s">
        <v>49</v>
      </c>
      <c r="G18" s="69"/>
      <c r="H18" s="59" t="s">
        <v>50</v>
      </c>
      <c r="I18" s="61" t="s">
        <v>42</v>
      </c>
      <c r="J18" s="62" t="s">
        <v>43</v>
      </c>
      <c r="K18" s="62"/>
      <c r="L18" s="63" t="s">
        <v>13</v>
      </c>
      <c r="M18" s="63"/>
    </row>
    <row r="19">
      <c r="A19" s="64"/>
      <c r="B19" s="64"/>
      <c r="C19" s="64"/>
      <c r="D19" s="64"/>
      <c r="E19" s="68">
        <v>5.0</v>
      </c>
      <c r="F19" s="59" t="s">
        <v>51</v>
      </c>
      <c r="G19" s="59" t="s">
        <v>52</v>
      </c>
      <c r="H19" s="59" t="s">
        <v>48</v>
      </c>
      <c r="I19" s="61" t="s">
        <v>42</v>
      </c>
      <c r="J19" s="62" t="s">
        <v>43</v>
      </c>
      <c r="K19" s="62"/>
      <c r="L19" s="63" t="s">
        <v>13</v>
      </c>
      <c r="M19" s="63"/>
    </row>
    <row r="20">
      <c r="A20" s="52"/>
      <c r="B20" s="52"/>
      <c r="C20" s="52"/>
      <c r="D20" s="52"/>
      <c r="E20" s="68">
        <v>6.0</v>
      </c>
      <c r="F20" s="59" t="s">
        <v>49</v>
      </c>
      <c r="G20" s="69"/>
      <c r="H20" s="59" t="s">
        <v>53</v>
      </c>
      <c r="I20" s="61" t="s">
        <v>42</v>
      </c>
      <c r="J20" s="62" t="s">
        <v>43</v>
      </c>
      <c r="K20" s="62"/>
      <c r="L20" s="63" t="s">
        <v>13</v>
      </c>
      <c r="M20" s="63"/>
    </row>
    <row r="21">
      <c r="A21" s="55">
        <v>2.0</v>
      </c>
      <c r="B21" s="56" t="s">
        <v>54</v>
      </c>
      <c r="C21" s="55" t="s">
        <v>36</v>
      </c>
      <c r="D21" s="57" t="s">
        <v>55</v>
      </c>
      <c r="E21" s="68">
        <v>1.0</v>
      </c>
      <c r="F21" s="59" t="s">
        <v>39</v>
      </c>
      <c r="G21" s="60" t="s">
        <v>40</v>
      </c>
      <c r="H21" s="59" t="s">
        <v>41</v>
      </c>
      <c r="I21" s="61" t="s">
        <v>42</v>
      </c>
      <c r="J21" s="62" t="s">
        <v>43</v>
      </c>
      <c r="K21" s="62"/>
      <c r="L21" s="63" t="s">
        <v>13</v>
      </c>
      <c r="M21" s="63"/>
    </row>
    <row r="22">
      <c r="A22" s="64"/>
      <c r="B22" s="64"/>
      <c r="C22" s="64"/>
      <c r="D22" s="64"/>
      <c r="E22" s="68">
        <v>2.0</v>
      </c>
      <c r="F22" s="59" t="s">
        <v>44</v>
      </c>
      <c r="G22" s="66"/>
      <c r="H22" s="59" t="s">
        <v>45</v>
      </c>
      <c r="I22" s="61" t="s">
        <v>42</v>
      </c>
      <c r="J22" s="62" t="s">
        <v>43</v>
      </c>
      <c r="K22" s="62"/>
      <c r="L22" s="63" t="s">
        <v>13</v>
      </c>
      <c r="M22" s="63"/>
    </row>
    <row r="23">
      <c r="A23" s="64"/>
      <c r="B23" s="64"/>
      <c r="C23" s="64"/>
      <c r="D23" s="64"/>
      <c r="E23" s="68">
        <v>3.0</v>
      </c>
      <c r="F23" s="59" t="s">
        <v>46</v>
      </c>
      <c r="G23" s="67" t="s">
        <v>47</v>
      </c>
      <c r="H23" s="59" t="s">
        <v>48</v>
      </c>
      <c r="I23" s="61" t="s">
        <v>42</v>
      </c>
      <c r="J23" s="62" t="s">
        <v>43</v>
      </c>
      <c r="K23" s="62"/>
      <c r="L23" s="63" t="s">
        <v>13</v>
      </c>
      <c r="M23" s="63"/>
    </row>
    <row r="24">
      <c r="A24" s="64"/>
      <c r="B24" s="64"/>
      <c r="C24" s="64"/>
      <c r="D24" s="64"/>
      <c r="E24" s="68">
        <v>4.0</v>
      </c>
      <c r="F24" s="59" t="s">
        <v>49</v>
      </c>
      <c r="G24" s="69"/>
      <c r="H24" s="59" t="s">
        <v>50</v>
      </c>
      <c r="I24" s="61" t="s">
        <v>42</v>
      </c>
      <c r="J24" s="62" t="s">
        <v>43</v>
      </c>
      <c r="K24" s="62"/>
      <c r="L24" s="63" t="s">
        <v>13</v>
      </c>
      <c r="M24" s="63"/>
    </row>
    <row r="25">
      <c r="A25" s="64"/>
      <c r="B25" s="64"/>
      <c r="C25" s="64"/>
      <c r="D25" s="64"/>
      <c r="E25" s="68">
        <v>5.0</v>
      </c>
      <c r="F25" s="59" t="s">
        <v>51</v>
      </c>
      <c r="G25" s="59" t="s">
        <v>52</v>
      </c>
      <c r="H25" s="59" t="s">
        <v>48</v>
      </c>
      <c r="I25" s="61" t="s">
        <v>42</v>
      </c>
      <c r="J25" s="62" t="s">
        <v>43</v>
      </c>
      <c r="K25" s="62"/>
      <c r="L25" s="63" t="s">
        <v>13</v>
      </c>
      <c r="M25" s="63"/>
    </row>
    <row r="26">
      <c r="A26" s="64"/>
      <c r="B26" s="64"/>
      <c r="C26" s="64"/>
      <c r="D26" s="64"/>
      <c r="E26" s="68">
        <v>6.0</v>
      </c>
      <c r="F26" s="59" t="s">
        <v>49</v>
      </c>
      <c r="G26" s="69"/>
      <c r="H26" s="59" t="s">
        <v>53</v>
      </c>
      <c r="I26" s="61" t="s">
        <v>42</v>
      </c>
      <c r="J26" s="62" t="s">
        <v>43</v>
      </c>
      <c r="K26" s="62"/>
      <c r="L26" s="63" t="s">
        <v>13</v>
      </c>
      <c r="M26" s="63"/>
    </row>
    <row r="27">
      <c r="A27" s="64"/>
      <c r="B27" s="64"/>
      <c r="C27" s="64"/>
      <c r="D27" s="64"/>
      <c r="E27" s="68">
        <v>7.0</v>
      </c>
      <c r="F27" s="59" t="s">
        <v>56</v>
      </c>
      <c r="G27" s="70"/>
      <c r="H27" s="59" t="s">
        <v>57</v>
      </c>
      <c r="I27" s="61" t="s">
        <v>42</v>
      </c>
      <c r="J27" s="62" t="s">
        <v>43</v>
      </c>
      <c r="K27" s="62"/>
      <c r="L27" s="63" t="s">
        <v>13</v>
      </c>
      <c r="M27" s="63"/>
    </row>
    <row r="28">
      <c r="A28" s="64"/>
      <c r="B28" s="64"/>
      <c r="C28" s="64"/>
      <c r="D28" s="64"/>
      <c r="E28" s="68">
        <v>8.0</v>
      </c>
      <c r="F28" s="59" t="s">
        <v>58</v>
      </c>
      <c r="G28" s="66"/>
      <c r="H28" s="59" t="s">
        <v>59</v>
      </c>
      <c r="I28" s="61" t="s">
        <v>42</v>
      </c>
      <c r="J28" s="62" t="s">
        <v>43</v>
      </c>
      <c r="K28" s="62"/>
      <c r="L28" s="63" t="s">
        <v>13</v>
      </c>
      <c r="M28" s="63"/>
    </row>
    <row r="29">
      <c r="A29" s="64"/>
      <c r="B29" s="64"/>
      <c r="C29" s="64"/>
      <c r="D29" s="64"/>
      <c r="E29" s="68">
        <v>9.0</v>
      </c>
      <c r="F29" s="59" t="s">
        <v>60</v>
      </c>
      <c r="G29" s="67" t="s">
        <v>61</v>
      </c>
      <c r="H29" s="59" t="s">
        <v>48</v>
      </c>
      <c r="I29" s="61" t="s">
        <v>42</v>
      </c>
      <c r="J29" s="62" t="s">
        <v>43</v>
      </c>
      <c r="K29" s="62"/>
      <c r="L29" s="63" t="s">
        <v>13</v>
      </c>
      <c r="M29" s="63"/>
    </row>
    <row r="30">
      <c r="A30" s="64"/>
      <c r="B30" s="64"/>
      <c r="C30" s="64"/>
      <c r="D30" s="64"/>
      <c r="E30" s="68">
        <v>10.0</v>
      </c>
      <c r="F30" s="59" t="s">
        <v>62</v>
      </c>
      <c r="G30" s="59" t="s">
        <v>63</v>
      </c>
      <c r="H30" s="59" t="s">
        <v>48</v>
      </c>
      <c r="I30" s="61" t="s">
        <v>42</v>
      </c>
      <c r="J30" s="62" t="s">
        <v>43</v>
      </c>
      <c r="K30" s="62"/>
      <c r="L30" s="63" t="s">
        <v>13</v>
      </c>
      <c r="M30" s="63"/>
    </row>
    <row r="31">
      <c r="A31" s="64"/>
      <c r="B31" s="64"/>
      <c r="C31" s="64"/>
      <c r="D31" s="64"/>
      <c r="E31" s="68">
        <v>11.0</v>
      </c>
      <c r="F31" s="59" t="s">
        <v>64</v>
      </c>
      <c r="G31" s="71" t="s">
        <v>65</v>
      </c>
      <c r="H31" s="59" t="s">
        <v>48</v>
      </c>
      <c r="I31" s="61" t="s">
        <v>42</v>
      </c>
      <c r="J31" s="62" t="s">
        <v>43</v>
      </c>
      <c r="K31" s="62"/>
      <c r="L31" s="63" t="s">
        <v>13</v>
      </c>
      <c r="M31" s="63"/>
    </row>
    <row r="32">
      <c r="A32" s="64"/>
      <c r="B32" s="64"/>
      <c r="C32" s="64"/>
      <c r="D32" s="64"/>
      <c r="E32" s="68">
        <v>12.0</v>
      </c>
      <c r="F32" s="59" t="s">
        <v>66</v>
      </c>
      <c r="G32" s="59" t="s">
        <v>67</v>
      </c>
      <c r="H32" s="59" t="s">
        <v>48</v>
      </c>
      <c r="I32" s="61" t="s">
        <v>42</v>
      </c>
      <c r="J32" s="62" t="s">
        <v>43</v>
      </c>
      <c r="K32" s="62"/>
      <c r="L32" s="63" t="s">
        <v>13</v>
      </c>
      <c r="M32" s="63"/>
    </row>
    <row r="33">
      <c r="A33" s="64"/>
      <c r="B33" s="64"/>
      <c r="C33" s="64"/>
      <c r="D33" s="64"/>
      <c r="E33" s="68">
        <v>13.0</v>
      </c>
      <c r="F33" s="59" t="s">
        <v>68</v>
      </c>
      <c r="G33" s="67" t="s">
        <v>69</v>
      </c>
      <c r="H33" s="59" t="s">
        <v>48</v>
      </c>
      <c r="I33" s="61" t="s">
        <v>42</v>
      </c>
      <c r="J33" s="62" t="s">
        <v>43</v>
      </c>
      <c r="K33" s="62"/>
      <c r="L33" s="63" t="s">
        <v>13</v>
      </c>
      <c r="M33" s="63"/>
    </row>
    <row r="34">
      <c r="A34" s="64"/>
      <c r="B34" s="64"/>
      <c r="C34" s="64"/>
      <c r="D34" s="64"/>
      <c r="E34" s="68">
        <v>14.0</v>
      </c>
      <c r="F34" s="59" t="s">
        <v>70</v>
      </c>
      <c r="G34" s="59" t="s">
        <v>71</v>
      </c>
      <c r="H34" s="59" t="s">
        <v>48</v>
      </c>
      <c r="I34" s="61" t="s">
        <v>42</v>
      </c>
      <c r="J34" s="62" t="s">
        <v>43</v>
      </c>
      <c r="K34" s="62"/>
      <c r="L34" s="63" t="s">
        <v>13</v>
      </c>
      <c r="M34" s="63"/>
    </row>
    <row r="35">
      <c r="A35" s="64"/>
      <c r="B35" s="64"/>
      <c r="C35" s="64"/>
      <c r="D35" s="64"/>
      <c r="E35" s="68">
        <v>15.0</v>
      </c>
      <c r="F35" s="59" t="s">
        <v>72</v>
      </c>
      <c r="G35" s="59" t="s">
        <v>73</v>
      </c>
      <c r="H35" s="59" t="s">
        <v>48</v>
      </c>
      <c r="I35" s="61" t="s">
        <v>42</v>
      </c>
      <c r="J35" s="62" t="s">
        <v>43</v>
      </c>
      <c r="K35" s="62"/>
      <c r="L35" s="63" t="s">
        <v>13</v>
      </c>
      <c r="M35" s="63"/>
    </row>
    <row r="36">
      <c r="A36" s="64"/>
      <c r="B36" s="64"/>
      <c r="C36" s="64"/>
      <c r="D36" s="64"/>
      <c r="E36" s="68">
        <v>16.0</v>
      </c>
      <c r="F36" s="59" t="s">
        <v>74</v>
      </c>
      <c r="G36" s="59" t="s">
        <v>75</v>
      </c>
      <c r="H36" s="59" t="s">
        <v>48</v>
      </c>
      <c r="I36" s="61" t="s">
        <v>42</v>
      </c>
      <c r="J36" s="62" t="s">
        <v>43</v>
      </c>
      <c r="K36" s="62"/>
      <c r="L36" s="63" t="s">
        <v>13</v>
      </c>
      <c r="M36" s="63"/>
    </row>
    <row r="37">
      <c r="A37" s="64"/>
      <c r="B37" s="64"/>
      <c r="C37" s="64"/>
      <c r="D37" s="64"/>
      <c r="E37" s="68">
        <v>17.0</v>
      </c>
      <c r="F37" s="59" t="s">
        <v>76</v>
      </c>
      <c r="G37" s="67" t="s">
        <v>77</v>
      </c>
      <c r="H37" s="59" t="s">
        <v>48</v>
      </c>
      <c r="I37" s="61" t="s">
        <v>42</v>
      </c>
      <c r="J37" s="62" t="s">
        <v>43</v>
      </c>
      <c r="K37" s="62"/>
      <c r="L37" s="63" t="s">
        <v>13</v>
      </c>
      <c r="M37" s="63"/>
    </row>
    <row r="38">
      <c r="A38" s="64"/>
      <c r="B38" s="64"/>
      <c r="C38" s="64"/>
      <c r="D38" s="64"/>
      <c r="E38" s="68">
        <v>18.0</v>
      </c>
      <c r="F38" s="59" t="s">
        <v>78</v>
      </c>
      <c r="G38" s="59" t="s">
        <v>71</v>
      </c>
      <c r="H38" s="59" t="s">
        <v>48</v>
      </c>
      <c r="I38" s="61" t="s">
        <v>42</v>
      </c>
      <c r="J38" s="62" t="s">
        <v>43</v>
      </c>
      <c r="K38" s="62"/>
      <c r="L38" s="63" t="s">
        <v>13</v>
      </c>
      <c r="M38" s="63"/>
    </row>
    <row r="39">
      <c r="A39" s="64"/>
      <c r="B39" s="64"/>
      <c r="C39" s="64"/>
      <c r="D39" s="64"/>
      <c r="E39" s="68">
        <v>19.0</v>
      </c>
      <c r="F39" s="59" t="s">
        <v>79</v>
      </c>
      <c r="G39" s="59" t="s">
        <v>80</v>
      </c>
      <c r="H39" s="59" t="s">
        <v>48</v>
      </c>
      <c r="I39" s="61" t="s">
        <v>42</v>
      </c>
      <c r="J39" s="62" t="s">
        <v>43</v>
      </c>
      <c r="K39" s="62"/>
      <c r="L39" s="63" t="s">
        <v>13</v>
      </c>
      <c r="M39" s="63"/>
    </row>
    <row r="40">
      <c r="A40" s="64"/>
      <c r="B40" s="64"/>
      <c r="C40" s="64"/>
      <c r="D40" s="64"/>
      <c r="E40" s="68">
        <v>20.0</v>
      </c>
      <c r="F40" s="59" t="s">
        <v>81</v>
      </c>
      <c r="G40" s="59" t="s">
        <v>82</v>
      </c>
      <c r="H40" s="59" t="s">
        <v>48</v>
      </c>
      <c r="I40" s="61" t="s">
        <v>42</v>
      </c>
      <c r="J40" s="62" t="s">
        <v>43</v>
      </c>
      <c r="K40" s="62"/>
      <c r="L40" s="63" t="s">
        <v>13</v>
      </c>
      <c r="M40" s="63"/>
    </row>
    <row r="41">
      <c r="A41" s="64"/>
      <c r="B41" s="64"/>
      <c r="C41" s="64"/>
      <c r="D41" s="64"/>
      <c r="E41" s="68">
        <v>21.0</v>
      </c>
      <c r="F41" s="59" t="s">
        <v>83</v>
      </c>
      <c r="G41" s="59" t="s">
        <v>84</v>
      </c>
      <c r="H41" s="59" t="s">
        <v>48</v>
      </c>
      <c r="I41" s="61" t="s">
        <v>42</v>
      </c>
      <c r="J41" s="62" t="s">
        <v>43</v>
      </c>
      <c r="K41" s="62"/>
      <c r="L41" s="63" t="s">
        <v>13</v>
      </c>
      <c r="M41" s="63"/>
    </row>
    <row r="42">
      <c r="A42" s="64"/>
      <c r="B42" s="64"/>
      <c r="C42" s="64"/>
      <c r="D42" s="64"/>
      <c r="E42" s="68">
        <v>22.0</v>
      </c>
      <c r="F42" s="59" t="s">
        <v>85</v>
      </c>
      <c r="G42" s="67"/>
      <c r="H42" s="59" t="s">
        <v>86</v>
      </c>
      <c r="I42" s="61" t="s">
        <v>42</v>
      </c>
      <c r="J42" s="62" t="s">
        <v>43</v>
      </c>
      <c r="K42" s="62"/>
      <c r="L42" s="63" t="s">
        <v>13</v>
      </c>
      <c r="M42" s="63"/>
    </row>
    <row r="43">
      <c r="A43" s="64"/>
      <c r="B43" s="64"/>
      <c r="C43" s="64"/>
      <c r="D43" s="64"/>
      <c r="E43" s="68">
        <v>23.0</v>
      </c>
      <c r="F43" s="59" t="s">
        <v>87</v>
      </c>
      <c r="G43" s="59"/>
      <c r="H43" s="59" t="s">
        <v>88</v>
      </c>
      <c r="I43" s="61" t="s">
        <v>42</v>
      </c>
      <c r="J43" s="62" t="s">
        <v>43</v>
      </c>
      <c r="K43" s="62"/>
      <c r="L43" s="63" t="s">
        <v>13</v>
      </c>
      <c r="M43" s="63"/>
    </row>
    <row r="44">
      <c r="A44" s="64"/>
      <c r="B44" s="64"/>
      <c r="C44" s="64"/>
      <c r="D44" s="64"/>
      <c r="E44" s="68">
        <v>24.0</v>
      </c>
      <c r="F44" s="59" t="s">
        <v>89</v>
      </c>
      <c r="G44" s="59" t="s">
        <v>90</v>
      </c>
      <c r="H44" s="59" t="s">
        <v>48</v>
      </c>
      <c r="I44" s="61" t="s">
        <v>42</v>
      </c>
      <c r="J44" s="62" t="s">
        <v>43</v>
      </c>
      <c r="K44" s="62"/>
      <c r="L44" s="63" t="s">
        <v>13</v>
      </c>
      <c r="M44" s="63"/>
    </row>
    <row r="45">
      <c r="A45" s="64"/>
      <c r="B45" s="64"/>
      <c r="C45" s="64"/>
      <c r="D45" s="64"/>
      <c r="E45" s="68">
        <v>25.0</v>
      </c>
      <c r="F45" s="59" t="s">
        <v>91</v>
      </c>
      <c r="G45" s="59" t="s">
        <v>92</v>
      </c>
      <c r="H45" s="59" t="s">
        <v>48</v>
      </c>
      <c r="I45" s="61" t="s">
        <v>42</v>
      </c>
      <c r="J45" s="62" t="s">
        <v>43</v>
      </c>
      <c r="K45" s="62"/>
      <c r="L45" s="63" t="s">
        <v>13</v>
      </c>
      <c r="M45" s="63"/>
    </row>
    <row r="46">
      <c r="A46" s="64"/>
      <c r="B46" s="64"/>
      <c r="C46" s="64"/>
      <c r="D46" s="64"/>
      <c r="E46" s="68">
        <v>26.0</v>
      </c>
      <c r="F46" s="59" t="s">
        <v>93</v>
      </c>
      <c r="G46" s="69"/>
      <c r="H46" s="59" t="s">
        <v>86</v>
      </c>
      <c r="I46" s="61" t="s">
        <v>42</v>
      </c>
      <c r="J46" s="62" t="s">
        <v>43</v>
      </c>
      <c r="K46" s="62"/>
      <c r="L46" s="63" t="s">
        <v>13</v>
      </c>
      <c r="M46" s="63"/>
    </row>
    <row r="47">
      <c r="A47" s="64"/>
      <c r="B47" s="64"/>
      <c r="C47" s="64"/>
      <c r="D47" s="64"/>
      <c r="E47" s="68">
        <v>27.0</v>
      </c>
      <c r="F47" s="59" t="s">
        <v>94</v>
      </c>
      <c r="G47" s="69"/>
      <c r="H47" s="59" t="s">
        <v>95</v>
      </c>
      <c r="I47" s="61" t="s">
        <v>42</v>
      </c>
      <c r="J47" s="62" t="s">
        <v>43</v>
      </c>
      <c r="K47" s="62"/>
      <c r="L47" s="63" t="s">
        <v>13</v>
      </c>
      <c r="M47" s="63"/>
    </row>
    <row r="48">
      <c r="A48" s="64"/>
      <c r="B48" s="64"/>
      <c r="C48" s="64"/>
      <c r="D48" s="64"/>
      <c r="E48" s="68">
        <v>28.0</v>
      </c>
      <c r="F48" s="59" t="s">
        <v>96</v>
      </c>
      <c r="G48" s="59" t="s">
        <v>97</v>
      </c>
      <c r="H48" s="59" t="s">
        <v>84</v>
      </c>
      <c r="I48" s="61" t="s">
        <v>42</v>
      </c>
      <c r="J48" s="62" t="s">
        <v>43</v>
      </c>
      <c r="K48" s="62"/>
      <c r="L48" s="63" t="s">
        <v>13</v>
      </c>
      <c r="M48" s="63"/>
    </row>
    <row r="49">
      <c r="A49" s="64"/>
      <c r="B49" s="64"/>
      <c r="C49" s="64"/>
      <c r="D49" s="64"/>
      <c r="E49" s="68">
        <v>29.0</v>
      </c>
      <c r="F49" s="59" t="s">
        <v>72</v>
      </c>
      <c r="G49" s="59" t="s">
        <v>73</v>
      </c>
      <c r="H49" s="59" t="s">
        <v>48</v>
      </c>
      <c r="I49" s="61" t="s">
        <v>42</v>
      </c>
      <c r="J49" s="62" t="s">
        <v>43</v>
      </c>
      <c r="K49" s="62"/>
      <c r="L49" s="63" t="s">
        <v>13</v>
      </c>
      <c r="M49" s="63"/>
    </row>
    <row r="50">
      <c r="A50" s="64"/>
      <c r="B50" s="64"/>
      <c r="C50" s="64"/>
      <c r="D50" s="64"/>
      <c r="E50" s="68">
        <v>30.0</v>
      </c>
      <c r="F50" s="59" t="s">
        <v>74</v>
      </c>
      <c r="G50" s="59" t="s">
        <v>75</v>
      </c>
      <c r="H50" s="59" t="s">
        <v>48</v>
      </c>
      <c r="I50" s="61" t="s">
        <v>42</v>
      </c>
      <c r="J50" s="62" t="s">
        <v>43</v>
      </c>
      <c r="K50" s="62"/>
      <c r="L50" s="63" t="s">
        <v>13</v>
      </c>
      <c r="M50" s="63"/>
    </row>
    <row r="51">
      <c r="A51" s="64"/>
      <c r="B51" s="64"/>
      <c r="C51" s="64"/>
      <c r="D51" s="64"/>
      <c r="E51" s="68">
        <v>31.0</v>
      </c>
      <c r="F51" s="59" t="s">
        <v>76</v>
      </c>
      <c r="G51" s="67" t="s">
        <v>77</v>
      </c>
      <c r="H51" s="59" t="s">
        <v>48</v>
      </c>
      <c r="I51" s="61" t="s">
        <v>42</v>
      </c>
      <c r="J51" s="62" t="s">
        <v>43</v>
      </c>
      <c r="K51" s="62"/>
      <c r="L51" s="63" t="s">
        <v>13</v>
      </c>
      <c r="M51" s="63"/>
    </row>
    <row r="52">
      <c r="A52" s="64"/>
      <c r="B52" s="64"/>
      <c r="C52" s="64"/>
      <c r="D52" s="64"/>
      <c r="E52" s="68">
        <v>32.0</v>
      </c>
      <c r="F52" s="59" t="s">
        <v>78</v>
      </c>
      <c r="G52" s="59" t="s">
        <v>71</v>
      </c>
      <c r="H52" s="59" t="s">
        <v>48</v>
      </c>
      <c r="I52" s="61" t="s">
        <v>42</v>
      </c>
      <c r="J52" s="62" t="s">
        <v>43</v>
      </c>
      <c r="K52" s="62"/>
      <c r="L52" s="63" t="s">
        <v>13</v>
      </c>
      <c r="M52" s="63"/>
    </row>
    <row r="53">
      <c r="A53" s="64"/>
      <c r="B53" s="64"/>
      <c r="C53" s="64"/>
      <c r="D53" s="64"/>
      <c r="E53" s="68">
        <v>33.0</v>
      </c>
      <c r="F53" s="59" t="s">
        <v>79</v>
      </c>
      <c r="G53" s="59" t="s">
        <v>80</v>
      </c>
      <c r="H53" s="59" t="s">
        <v>48</v>
      </c>
      <c r="I53" s="61" t="s">
        <v>42</v>
      </c>
      <c r="J53" s="62" t="s">
        <v>43</v>
      </c>
      <c r="K53" s="62"/>
      <c r="L53" s="63" t="s">
        <v>13</v>
      </c>
      <c r="M53" s="63"/>
    </row>
    <row r="54">
      <c r="A54" s="64"/>
      <c r="B54" s="64"/>
      <c r="C54" s="64"/>
      <c r="D54" s="64"/>
      <c r="E54" s="68">
        <v>34.0</v>
      </c>
      <c r="F54" s="59" t="s">
        <v>81</v>
      </c>
      <c r="G54" s="59" t="s">
        <v>82</v>
      </c>
      <c r="H54" s="59" t="s">
        <v>48</v>
      </c>
      <c r="I54" s="61" t="s">
        <v>42</v>
      </c>
      <c r="J54" s="62" t="s">
        <v>43</v>
      </c>
      <c r="K54" s="62"/>
      <c r="L54" s="63" t="s">
        <v>13</v>
      </c>
      <c r="M54" s="63"/>
    </row>
    <row r="55">
      <c r="A55" s="64"/>
      <c r="B55" s="64"/>
      <c r="C55" s="64"/>
      <c r="D55" s="64"/>
      <c r="E55" s="68">
        <v>35.0</v>
      </c>
      <c r="F55" s="59" t="s">
        <v>83</v>
      </c>
      <c r="G55" s="59" t="s">
        <v>84</v>
      </c>
      <c r="H55" s="59" t="s">
        <v>48</v>
      </c>
      <c r="I55" s="61" t="s">
        <v>42</v>
      </c>
      <c r="J55" s="62" t="s">
        <v>43</v>
      </c>
      <c r="K55" s="62"/>
      <c r="L55" s="63" t="s">
        <v>13</v>
      </c>
      <c r="M55" s="63"/>
    </row>
    <row r="56">
      <c r="A56" s="64"/>
      <c r="B56" s="64"/>
      <c r="C56" s="64"/>
      <c r="D56" s="64"/>
      <c r="E56" s="68">
        <v>36.0</v>
      </c>
      <c r="F56" s="59" t="s">
        <v>98</v>
      </c>
      <c r="G56" s="69"/>
      <c r="H56" s="59" t="s">
        <v>99</v>
      </c>
      <c r="I56" s="68" t="s">
        <v>42</v>
      </c>
      <c r="J56" s="62" t="s">
        <v>43</v>
      </c>
      <c r="K56" s="62"/>
      <c r="L56" s="63" t="s">
        <v>13</v>
      </c>
      <c r="M56" s="63"/>
    </row>
    <row r="57">
      <c r="A57" s="52"/>
      <c r="B57" s="52"/>
      <c r="C57" s="52"/>
      <c r="D57" s="52"/>
      <c r="E57" s="68">
        <v>37.0</v>
      </c>
      <c r="F57" s="59" t="s">
        <v>100</v>
      </c>
      <c r="G57" s="69"/>
      <c r="H57" s="59" t="s">
        <v>101</v>
      </c>
      <c r="I57" s="68" t="s">
        <v>42</v>
      </c>
      <c r="J57" s="62" t="s">
        <v>43</v>
      </c>
      <c r="K57" s="62"/>
      <c r="L57" s="63" t="s">
        <v>13</v>
      </c>
      <c r="M57" s="63"/>
    </row>
  </sheetData>
  <mergeCells count="25">
    <mergeCell ref="A1:M1"/>
    <mergeCell ref="B3:D3"/>
    <mergeCell ref="G3:I3"/>
    <mergeCell ref="J3:L3"/>
    <mergeCell ref="C4:D4"/>
    <mergeCell ref="C5:D5"/>
    <mergeCell ref="G5:I5"/>
    <mergeCell ref="I13:I14"/>
    <mergeCell ref="J13:K13"/>
    <mergeCell ref="L13:M13"/>
    <mergeCell ref="A15:A20"/>
    <mergeCell ref="B15:B20"/>
    <mergeCell ref="C15:C20"/>
    <mergeCell ref="D15:D20"/>
    <mergeCell ref="A21:A57"/>
    <mergeCell ref="B21:B57"/>
    <mergeCell ref="C21:C57"/>
    <mergeCell ref="D21:D57"/>
    <mergeCell ref="C11:D11"/>
    <mergeCell ref="A13:A14"/>
    <mergeCell ref="B13:B14"/>
    <mergeCell ref="C13:C14"/>
    <mergeCell ref="E13:E14"/>
    <mergeCell ref="F13:G13"/>
    <mergeCell ref="H13:H14"/>
  </mergeCells>
  <dataValidations>
    <dataValidation type="list" allowBlank="1" showErrorMessage="1" sqref="J15:J57">
      <formula1>"Passed,Failed,Not Executed,Passed With Note"</formula1>
    </dataValidation>
    <dataValidation type="list" allowBlank="1" showErrorMessage="1" sqref="L15:L57">
      <formula1>"Yudi"</formula1>
    </dataValidation>
    <dataValidation type="list" allowBlank="1" showErrorMessage="1" sqref="C15 C21">
      <formula1>"POSITIF,NEGATIF"</formula1>
    </dataValidation>
  </dataValidations>
  <hyperlinks>
    <hyperlink r:id="rId1" ref="D15"/>
    <hyperlink r:id="rId2" ref="G15"/>
    <hyperlink r:id="rId3" ref="D21"/>
    <hyperlink r:id="rId4" ref="G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